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args\Desktop\SavvyVenv\GITTY\SATVIK-26\"/>
    </mc:Choice>
  </mc:AlternateContent>
  <xr:revisionPtr revIDLastSave="0" documentId="13_ncr:1_{EDF0FD6F-5903-4632-8816-A7A4DA5D13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21" i="1"/>
  <c r="F20" i="1"/>
  <c r="F19" i="1"/>
  <c r="F17" i="1"/>
  <c r="F15" i="1"/>
  <c r="F10" i="1"/>
</calcChain>
</file>

<file path=xl/sharedStrings.xml><?xml version="1.0" encoding="utf-8"?>
<sst xmlns="http://schemas.openxmlformats.org/spreadsheetml/2006/main" count="79" uniqueCount="68">
  <si>
    <t>Category</t>
  </si>
  <si>
    <t>Item</t>
  </si>
  <si>
    <t>Recommended part</t>
  </si>
  <si>
    <t>Qty</t>
  </si>
  <si>
    <t>Unit C$</t>
  </si>
  <si>
    <t>Total</t>
  </si>
  <si>
    <t>Supplier</t>
  </si>
  <si>
    <t>Link</t>
  </si>
  <si>
    <t>Notes</t>
  </si>
  <si>
    <t>PCB &amp; FC</t>
  </si>
  <si>
    <t>JLCPCB PCBA order</t>
  </si>
  <si>
    <t>Custom PCB with assembly from JLCPCB</t>
  </si>
  <si>
    <t>JLCPCB</t>
  </si>
  <si>
    <t>http://jlcpcb.com/</t>
  </si>
  <si>
    <t>STM32H743VIT6</t>
  </si>
  <si>
    <t>Generic chip</t>
  </si>
  <si>
    <t>Mouser</t>
  </si>
  <si>
    <t>https://www.mouser.ca/en/ProductDetail/STMicroelectronics/STM32H743VIT6?qs=FNcb6ahWXRw0Me5k2ZHgWw%3D%3D</t>
  </si>
  <si>
    <t>Out of stock at JLCPCB</t>
  </si>
  <si>
    <t>JST-GH connector/cable set</t>
  </si>
  <si>
    <t>Generic set</t>
  </si>
  <si>
    <t>Amazon.ca</t>
  </si>
  <si>
    <t>https://www.amazon.ca/gp/product/B07PBHN7TM/ref=ox_sc_act_title_1?smid=A1JTH8JAMM4IYJ&amp;psc=1</t>
  </si>
  <si>
    <t>AIRFRAME</t>
  </si>
  <si>
    <t>5in freestyle frame</t>
  </si>
  <si>
    <t>TBS Source One V6 - 5"</t>
  </si>
  <si>
    <t>Rotor Village</t>
  </si>
  <si>
    <t>https://rotorvillage.ca/tbs-source-one-v6-5/</t>
  </si>
  <si>
    <t>iFlight Xing2 2207 1855</t>
  </si>
  <si>
    <t>Rotor VIllage</t>
  </si>
  <si>
    <t>https://rotorvillage.ca/iflight-xing2-2207-1855-2755kv-motor/</t>
  </si>
  <si>
    <t>4-in-1 ESC</t>
  </si>
  <si>
    <t>Sequre Blueson A2 6S 65A ESC - AM32</t>
  </si>
  <si>
    <t>https://rotorvillage.ca/sequre-blueson-a2-6s-65a-esc-am32/</t>
  </si>
  <si>
    <t>Propellers 5in</t>
  </si>
  <si>
    <t>Gemfan 51466 (4 set)</t>
  </si>
  <si>
    <t>https://rotorvillage.ca/gemfan-51466-hurricane-mck-v2-tri-blade-prop-2cw-2ccw/</t>
  </si>
  <si>
    <t>Some spares for testing</t>
  </si>
  <si>
    <t>NAV &amp; LINK</t>
  </si>
  <si>
    <t>GPS + compass</t>
  </si>
  <si>
    <t>Sequre M10-252Q GPS with QMC5883</t>
  </si>
  <si>
    <t>https://rotorvillage.ca/sequre-m10-252q-gps-with-qmc5883-compass/</t>
  </si>
  <si>
    <t>Telemetry radio pair</t>
  </si>
  <si>
    <t>https://www.amazon.ca/gp/product/B0CP3X3KLG/ref=sw_img_1?smid=&amp;psc=1</t>
  </si>
  <si>
    <t>POWER</t>
  </si>
  <si>
    <t>LiPo 4S 1500mAh</t>
  </si>
  <si>
    <t>GNB 1850mah 4S 120C - XT60</t>
  </si>
  <si>
    <t>https://rotorvillage.ca/gnb-1850mah-4s-120c-xt60/</t>
  </si>
  <si>
    <t>SHIPPING AND TAX</t>
  </si>
  <si>
    <t>Shipping</t>
  </si>
  <si>
    <t>Mouser electronics</t>
  </si>
  <si>
    <t>Shipping + Tax (Ontario HST)</t>
  </si>
  <si>
    <t>Amazon</t>
  </si>
  <si>
    <t>TOTAL</t>
  </si>
  <si>
    <t>CAD</t>
  </si>
  <si>
    <t>USD</t>
  </si>
  <si>
    <t>REGULATORY</t>
  </si>
  <si>
    <t>Just for awarness and safety, personal cost, not included in the total</t>
  </si>
  <si>
    <t>TC Small Basic Exam</t>
  </si>
  <si>
    <t>Online exam</t>
  </si>
  <si>
    <t>Transport Canada</t>
  </si>
  <si>
    <t>Drone registration</t>
  </si>
  <si>
    <t>Per aircraft</t>
  </si>
  <si>
    <t>Motors 2207 ~1900KV</t>
  </si>
  <si>
    <t>Micoair SiK Telemetry Radio, 915MHz</t>
  </si>
  <si>
    <t>Tax</t>
  </si>
  <si>
    <t xml:space="preserve">Import fees + Tax </t>
  </si>
  <si>
    <t>U$654.11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</si>
</sst>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$&quot;#,##0.0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6" xfId="1" applyFont="1" applyBorder="1"/>
    <xf numFmtId="0" fontId="2" fillId="0" borderId="8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10" xfId="0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6" fillId="0" borderId="10" xfId="0" applyFont="1" applyBorder="1"/>
    <xf numFmtId="0" fontId="2" fillId="0" borderId="12" xfId="0" applyFont="1" applyBorder="1"/>
    <xf numFmtId="0" fontId="2" fillId="0" borderId="0" xfId="0" applyFont="1"/>
    <xf numFmtId="0" fontId="7" fillId="0" borderId="13" xfId="0" applyFont="1" applyBorder="1"/>
    <xf numFmtId="164" fontId="7" fillId="0" borderId="13" xfId="0" applyNumberFormat="1" applyFont="1" applyBorder="1" applyAlignment="1">
      <alignment horizontal="right"/>
    </xf>
    <xf numFmtId="0" fontId="8" fillId="0" borderId="0" xfId="0" applyFont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torvillage.ca/gnb-1850mah-4s-120c-xt60/" TargetMode="External"/><Relationship Id="rId3" Type="http://schemas.openxmlformats.org/officeDocument/2006/relationships/hyperlink" Target="https://www.amazon.ca/gp/product/B07PBHN7TM/ref=ox_sc_act_title_1?smid=A1JTH8JAMM4IYJ&amp;psc=1" TargetMode="External"/><Relationship Id="rId7" Type="http://schemas.openxmlformats.org/officeDocument/2006/relationships/hyperlink" Target="https://rotorvillage.ca/gemfan-51466-hurricane-mck-v2-tri-blade-prop-2cw-2ccw/" TargetMode="External"/><Relationship Id="rId2" Type="http://schemas.openxmlformats.org/officeDocument/2006/relationships/hyperlink" Target="https://www.mouser.ca/en/ProductDetail/STMicroelectronics/STM32H743VIT6?qs=FNcb6ahWXRw0Me5k2ZHgWw%3D%3D" TargetMode="External"/><Relationship Id="rId1" Type="http://schemas.openxmlformats.org/officeDocument/2006/relationships/hyperlink" Target="http://jlcpcb.com/" TargetMode="External"/><Relationship Id="rId6" Type="http://schemas.openxmlformats.org/officeDocument/2006/relationships/hyperlink" Target="https://rotorvillage.ca/sequre-blueson-a2-6s-65a-esc-am32/" TargetMode="External"/><Relationship Id="rId5" Type="http://schemas.openxmlformats.org/officeDocument/2006/relationships/hyperlink" Target="https://rotorvillage.ca/iflight-xing2-2207-1855-2755kv-motor/" TargetMode="External"/><Relationship Id="rId10" Type="http://schemas.openxmlformats.org/officeDocument/2006/relationships/hyperlink" Target="https://www.amazon.ca/gp/product/B0CP3X3KLG/ref=sw_img_1?smid=&amp;psc=1" TargetMode="External"/><Relationship Id="rId4" Type="http://schemas.openxmlformats.org/officeDocument/2006/relationships/hyperlink" Target="https://rotorvillage.ca/tbs-source-one-v6-5/" TargetMode="External"/><Relationship Id="rId9" Type="http://schemas.openxmlformats.org/officeDocument/2006/relationships/hyperlink" Target="https://rotorvillage.ca/sequre-m10-252q-gps-with-qmc5883-compa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9" zoomScale="85" zoomScaleNormal="85" workbookViewId="0">
      <selection activeCell="G23" sqref="G23"/>
    </sheetView>
  </sheetViews>
  <sheetFormatPr defaultRowHeight="14.5" x14ac:dyDescent="0.35"/>
  <cols>
    <col min="1" max="1" width="20.81640625" customWidth="1"/>
    <col min="2" max="2" width="26.90625" customWidth="1"/>
    <col min="3" max="3" width="39.1796875" customWidth="1"/>
    <col min="4" max="4" width="9.08984375" customWidth="1"/>
    <col min="5" max="5" width="10.26953125" bestFit="1" customWidth="1"/>
    <col min="6" max="6" width="11.81640625" customWidth="1"/>
    <col min="7" max="7" width="12.6328125" customWidth="1"/>
    <col min="8" max="8" width="34.453125" customWidth="1"/>
    <col min="9" max="9" width="51" customWidth="1"/>
  </cols>
  <sheetData>
    <row r="1" spans="1:9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x14ac:dyDescent="0.35">
      <c r="A2" s="5" t="s">
        <v>9</v>
      </c>
      <c r="B2" s="6"/>
      <c r="C2" s="7"/>
      <c r="D2" s="6"/>
      <c r="E2" s="6"/>
      <c r="F2" s="6"/>
      <c r="G2" s="6"/>
      <c r="H2" s="6"/>
      <c r="I2" s="8"/>
    </row>
    <row r="3" spans="1:9" x14ac:dyDescent="0.35">
      <c r="A3" s="9"/>
      <c r="B3" s="10" t="s">
        <v>10</v>
      </c>
      <c r="C3" s="11" t="s">
        <v>11</v>
      </c>
      <c r="D3" s="10">
        <v>1</v>
      </c>
      <c r="E3" s="10">
        <v>282.24</v>
      </c>
      <c r="F3" s="10">
        <v>282.24</v>
      </c>
      <c r="G3" s="10" t="s">
        <v>12</v>
      </c>
      <c r="H3" s="12" t="s">
        <v>13</v>
      </c>
      <c r="I3" s="13"/>
    </row>
    <row r="4" spans="1:9" x14ac:dyDescent="0.35">
      <c r="A4" s="9"/>
      <c r="B4" s="10" t="s">
        <v>14</v>
      </c>
      <c r="C4" s="11" t="s">
        <v>15</v>
      </c>
      <c r="D4" s="10">
        <v>2</v>
      </c>
      <c r="E4" s="10">
        <v>24.52</v>
      </c>
      <c r="F4" s="10">
        <v>49.04</v>
      </c>
      <c r="G4" s="10" t="s">
        <v>16</v>
      </c>
      <c r="H4" s="12" t="s">
        <v>17</v>
      </c>
      <c r="I4" s="13" t="s">
        <v>18</v>
      </c>
    </row>
    <row r="5" spans="1:9" x14ac:dyDescent="0.35">
      <c r="A5" s="9"/>
      <c r="B5" s="10" t="s">
        <v>19</v>
      </c>
      <c r="C5" s="11" t="s">
        <v>20</v>
      </c>
      <c r="D5" s="10">
        <v>1</v>
      </c>
      <c r="E5" s="10">
        <v>24.99</v>
      </c>
      <c r="F5" s="10">
        <v>24.99</v>
      </c>
      <c r="G5" s="10" t="s">
        <v>21</v>
      </c>
      <c r="H5" s="12" t="s">
        <v>22</v>
      </c>
      <c r="I5" s="13" t="s">
        <v>18</v>
      </c>
    </row>
    <row r="6" spans="1:9" x14ac:dyDescent="0.35">
      <c r="A6" s="14" t="s">
        <v>23</v>
      </c>
      <c r="B6" s="15"/>
      <c r="C6" s="16"/>
      <c r="D6" s="15"/>
      <c r="E6" s="15"/>
      <c r="F6" s="15"/>
      <c r="G6" s="15"/>
      <c r="H6" s="15"/>
      <c r="I6" s="17"/>
    </row>
    <row r="7" spans="1:9" x14ac:dyDescent="0.35">
      <c r="A7" s="9"/>
      <c r="B7" s="10" t="s">
        <v>24</v>
      </c>
      <c r="C7" s="11" t="s">
        <v>25</v>
      </c>
      <c r="D7" s="10">
        <v>1</v>
      </c>
      <c r="E7" s="10">
        <v>48.99</v>
      </c>
      <c r="F7" s="10">
        <v>48.99</v>
      </c>
      <c r="G7" s="10" t="s">
        <v>26</v>
      </c>
      <c r="H7" s="12" t="s">
        <v>27</v>
      </c>
      <c r="I7" s="13"/>
    </row>
    <row r="8" spans="1:9" x14ac:dyDescent="0.35">
      <c r="A8" s="9"/>
      <c r="B8" s="10" t="s">
        <v>63</v>
      </c>
      <c r="C8" s="11" t="s">
        <v>28</v>
      </c>
      <c r="D8" s="10">
        <v>4</v>
      </c>
      <c r="E8" s="10">
        <v>29.99</v>
      </c>
      <c r="F8" s="10">
        <v>119.96</v>
      </c>
      <c r="G8" s="10" t="s">
        <v>29</v>
      </c>
      <c r="H8" s="12" t="s">
        <v>30</v>
      </c>
      <c r="I8" s="13"/>
    </row>
    <row r="9" spans="1:9" x14ac:dyDescent="0.35">
      <c r="A9" s="9"/>
      <c r="B9" s="10" t="s">
        <v>31</v>
      </c>
      <c r="C9" s="11" t="s">
        <v>32</v>
      </c>
      <c r="D9" s="10">
        <v>1</v>
      </c>
      <c r="E9" s="10">
        <v>46.99</v>
      </c>
      <c r="F9" s="10">
        <v>46.99</v>
      </c>
      <c r="G9" s="10" t="s">
        <v>29</v>
      </c>
      <c r="H9" s="12" t="s">
        <v>33</v>
      </c>
      <c r="I9" s="13"/>
    </row>
    <row r="10" spans="1:9" x14ac:dyDescent="0.35">
      <c r="A10" s="9"/>
      <c r="B10" s="10" t="s">
        <v>34</v>
      </c>
      <c r="C10" s="11" t="s">
        <v>35</v>
      </c>
      <c r="D10" s="10">
        <v>3</v>
      </c>
      <c r="E10" s="10">
        <v>4.29</v>
      </c>
      <c r="F10" s="10">
        <f>E10*D10</f>
        <v>12.870000000000001</v>
      </c>
      <c r="G10" s="10" t="s">
        <v>26</v>
      </c>
      <c r="H10" s="12" t="s">
        <v>36</v>
      </c>
      <c r="I10" s="13" t="s">
        <v>37</v>
      </c>
    </row>
    <row r="11" spans="1:9" x14ac:dyDescent="0.35">
      <c r="A11" s="14" t="s">
        <v>38</v>
      </c>
      <c r="B11" s="15"/>
      <c r="C11" s="16"/>
      <c r="D11" s="15"/>
      <c r="E11" s="15"/>
      <c r="F11" s="15"/>
      <c r="G11" s="15"/>
      <c r="H11" s="15"/>
      <c r="I11" s="17"/>
    </row>
    <row r="12" spans="1:9" x14ac:dyDescent="0.35">
      <c r="A12" s="9"/>
      <c r="B12" s="10" t="s">
        <v>39</v>
      </c>
      <c r="C12" s="11" t="s">
        <v>40</v>
      </c>
      <c r="D12" s="10">
        <v>1</v>
      </c>
      <c r="E12" s="10">
        <v>30.99</v>
      </c>
      <c r="F12" s="10">
        <v>30.99</v>
      </c>
      <c r="G12" s="10" t="s">
        <v>26</v>
      </c>
      <c r="H12" s="12" t="s">
        <v>41</v>
      </c>
      <c r="I12" s="13"/>
    </row>
    <row r="13" spans="1:9" x14ac:dyDescent="0.35">
      <c r="A13" s="9"/>
      <c r="B13" s="10" t="s">
        <v>42</v>
      </c>
      <c r="C13" s="11" t="s">
        <v>64</v>
      </c>
      <c r="D13" s="10">
        <v>1</v>
      </c>
      <c r="E13" s="10">
        <v>79</v>
      </c>
      <c r="F13" s="10">
        <v>79</v>
      </c>
      <c r="G13" s="10" t="s">
        <v>21</v>
      </c>
      <c r="H13" s="12" t="s">
        <v>43</v>
      </c>
      <c r="I13" s="13"/>
    </row>
    <row r="14" spans="1:9" x14ac:dyDescent="0.35">
      <c r="A14" s="14" t="s">
        <v>44</v>
      </c>
      <c r="B14" s="15"/>
      <c r="C14" s="16"/>
      <c r="D14" s="15"/>
      <c r="E14" s="15"/>
      <c r="F14" s="15"/>
      <c r="G14" s="15"/>
      <c r="H14" s="15"/>
      <c r="I14" s="17"/>
    </row>
    <row r="15" spans="1:9" x14ac:dyDescent="0.35">
      <c r="A15" s="9"/>
      <c r="B15" s="10" t="s">
        <v>45</v>
      </c>
      <c r="C15" s="11" t="s">
        <v>46</v>
      </c>
      <c r="D15" s="10">
        <v>2</v>
      </c>
      <c r="E15" s="10">
        <v>39.99</v>
      </c>
      <c r="F15" s="10">
        <f>E15*D15</f>
        <v>79.98</v>
      </c>
      <c r="G15" s="10" t="s">
        <v>26</v>
      </c>
      <c r="H15" s="12" t="s">
        <v>47</v>
      </c>
      <c r="I15" s="13"/>
    </row>
    <row r="16" spans="1:9" x14ac:dyDescent="0.35">
      <c r="A16" s="14" t="s">
        <v>48</v>
      </c>
      <c r="B16" s="15"/>
      <c r="C16" s="16"/>
      <c r="D16" s="15" t="s">
        <v>49</v>
      </c>
      <c r="E16" s="15" t="s">
        <v>65</v>
      </c>
      <c r="F16" s="15"/>
      <c r="G16" s="15"/>
      <c r="H16" s="15"/>
      <c r="I16" s="17"/>
    </row>
    <row r="17" spans="1:9" x14ac:dyDescent="0.35">
      <c r="A17" s="9"/>
      <c r="B17" s="10" t="s">
        <v>50</v>
      </c>
      <c r="C17" s="11" t="s">
        <v>51</v>
      </c>
      <c r="D17" s="10">
        <v>20</v>
      </c>
      <c r="E17" s="10">
        <v>8.98</v>
      </c>
      <c r="F17" s="10">
        <f>E17+D17</f>
        <v>28.98</v>
      </c>
      <c r="G17" s="10"/>
      <c r="H17" s="10"/>
      <c r="I17" s="13"/>
    </row>
    <row r="18" spans="1:9" x14ac:dyDescent="0.35">
      <c r="A18" s="9"/>
      <c r="B18" s="10" t="s">
        <v>52</v>
      </c>
      <c r="C18" s="11" t="s">
        <v>66</v>
      </c>
      <c r="D18" s="10">
        <v>10.27</v>
      </c>
      <c r="E18" s="10">
        <v>3.25</v>
      </c>
      <c r="F18" s="10">
        <f>E18+D18</f>
        <v>13.52</v>
      </c>
      <c r="G18" s="10"/>
      <c r="H18" s="10"/>
      <c r="I18" s="13"/>
    </row>
    <row r="19" spans="1:9" x14ac:dyDescent="0.35">
      <c r="A19" s="9"/>
      <c r="B19" s="10" t="s">
        <v>26</v>
      </c>
      <c r="C19" s="11" t="s">
        <v>51</v>
      </c>
      <c r="D19" s="10">
        <v>23.81</v>
      </c>
      <c r="E19" s="10">
        <v>44.18</v>
      </c>
      <c r="F19" s="10">
        <f>E19+D19</f>
        <v>67.989999999999995</v>
      </c>
      <c r="G19" s="10"/>
      <c r="H19" s="10"/>
      <c r="I19" s="13"/>
    </row>
    <row r="20" spans="1:9" x14ac:dyDescent="0.35">
      <c r="A20" s="9"/>
      <c r="B20" s="10" t="s">
        <v>12</v>
      </c>
      <c r="C20" s="11" t="s">
        <v>49</v>
      </c>
      <c r="D20" s="10">
        <v>35.5</v>
      </c>
      <c r="E20" s="10">
        <v>0</v>
      </c>
      <c r="F20" s="10">
        <f>D20</f>
        <v>35.5</v>
      </c>
      <c r="G20" s="10"/>
      <c r="H20" s="10"/>
      <c r="I20" s="13"/>
    </row>
    <row r="21" spans="1:9" ht="16" thickBot="1" x14ac:dyDescent="0.4">
      <c r="A21" s="18"/>
      <c r="B21" s="19"/>
      <c r="C21" s="20"/>
      <c r="D21" s="21" t="s">
        <v>53</v>
      </c>
      <c r="E21" s="22" t="s">
        <v>54</v>
      </c>
      <c r="F21" s="23">
        <f>SUM(F3:F20)</f>
        <v>921.04000000000008</v>
      </c>
      <c r="G21" s="24"/>
      <c r="H21" s="19"/>
      <c r="I21" s="25"/>
    </row>
    <row r="22" spans="1:9" ht="16" thickBot="1" x14ac:dyDescent="0.4">
      <c r="A22" s="26"/>
      <c r="B22" s="26"/>
      <c r="C22" s="26"/>
      <c r="D22" s="26"/>
      <c r="E22" s="27" t="s">
        <v>55</v>
      </c>
      <c r="F22" s="28" t="s">
        <v>67</v>
      </c>
      <c r="G22" s="26"/>
      <c r="H22" s="26"/>
      <c r="I22" s="26"/>
    </row>
    <row r="23" spans="1:9" x14ac:dyDescent="0.35">
      <c r="F23" s="29"/>
    </row>
    <row r="25" spans="1:9" x14ac:dyDescent="0.35">
      <c r="A25" s="30" t="s">
        <v>56</v>
      </c>
      <c r="B25" s="30" t="s">
        <v>57</v>
      </c>
      <c r="C25" s="30"/>
      <c r="D25" s="30"/>
      <c r="E25" s="30"/>
      <c r="F25" s="30"/>
      <c r="G25" s="30"/>
      <c r="H25" s="26"/>
    </row>
    <row r="26" spans="1:9" x14ac:dyDescent="0.35">
      <c r="A26" s="26"/>
      <c r="B26" s="26" t="s">
        <v>58</v>
      </c>
      <c r="C26" s="26" t="s">
        <v>59</v>
      </c>
      <c r="D26" s="26">
        <v>1</v>
      </c>
      <c r="E26" s="26">
        <v>10</v>
      </c>
      <c r="F26" s="26">
        <v>10</v>
      </c>
      <c r="G26" s="26" t="s">
        <v>60</v>
      </c>
      <c r="H26" s="26"/>
    </row>
    <row r="27" spans="1:9" x14ac:dyDescent="0.35">
      <c r="A27" s="26"/>
      <c r="B27" s="26" t="s">
        <v>61</v>
      </c>
      <c r="C27" s="26" t="s">
        <v>62</v>
      </c>
      <c r="D27" s="26">
        <v>1</v>
      </c>
      <c r="E27" s="26">
        <v>5</v>
      </c>
      <c r="F27" s="26">
        <v>5</v>
      </c>
      <c r="G27" s="26" t="s">
        <v>60</v>
      </c>
      <c r="H27" s="26"/>
    </row>
    <row r="28" spans="1:9" x14ac:dyDescent="0.35">
      <c r="A28" s="26"/>
      <c r="B28" s="26"/>
      <c r="E28" s="26"/>
      <c r="G28" s="26"/>
      <c r="H28" s="26"/>
    </row>
    <row r="29" spans="1:9" x14ac:dyDescent="0.35">
      <c r="A29" s="26"/>
      <c r="B29" s="26"/>
      <c r="C29" s="26"/>
      <c r="D29" s="26"/>
      <c r="E29" s="26"/>
      <c r="F29" s="26"/>
      <c r="G29" s="26"/>
      <c r="H29" s="26"/>
    </row>
    <row r="30" spans="1:9" x14ac:dyDescent="0.35">
      <c r="A30" s="26"/>
      <c r="B30" s="26"/>
      <c r="C30" s="26"/>
      <c r="D30" s="26"/>
      <c r="E30" s="26"/>
      <c r="F30" s="26"/>
      <c r="G30" s="26"/>
      <c r="H30" s="26"/>
    </row>
  </sheetData>
  <hyperlinks>
    <hyperlink ref="H3" r:id="rId1" xr:uid="{5AE6F9D6-D96C-45E1-BD33-24DC6BCD913B}"/>
    <hyperlink ref="H4" r:id="rId2" xr:uid="{3FD18318-FAE5-4565-B838-9FE6E036364B}"/>
    <hyperlink ref="H5" r:id="rId3" xr:uid="{786A7A7E-4032-41B3-88E0-B70DDC39B185}"/>
    <hyperlink ref="H7" r:id="rId4" xr:uid="{DB86D41B-D14B-4294-851C-BABF5F71D50F}"/>
    <hyperlink ref="H8" r:id="rId5" xr:uid="{DD91A87D-32A1-4FC9-8284-E4A47A437F43}"/>
    <hyperlink ref="H9" r:id="rId6" xr:uid="{280DF36A-42B7-44BB-B869-53B88BE4EA2B}"/>
    <hyperlink ref="H10" r:id="rId7" xr:uid="{A027D243-3659-45E6-8402-B0A6C8C32F2E}"/>
    <hyperlink ref="H15" r:id="rId8" xr:uid="{C0E95E7A-51D3-4FB1-895D-CB2D95D9E1F0}"/>
    <hyperlink ref="H12" r:id="rId9" xr:uid="{C8A2AE76-E9E5-4164-AB75-9B3ACD17B09A}"/>
    <hyperlink ref="H13" r:id="rId10" xr:uid="{CBAF8549-4E6B-4857-8489-BE7DAB1C8D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 Garg</dc:creator>
  <cp:lastModifiedBy>Satvik Garg</cp:lastModifiedBy>
  <dcterms:created xsi:type="dcterms:W3CDTF">2015-06-05T18:17:20Z</dcterms:created>
  <dcterms:modified xsi:type="dcterms:W3CDTF">2026-07-23T19:24:29Z</dcterms:modified>
</cp:coreProperties>
</file>